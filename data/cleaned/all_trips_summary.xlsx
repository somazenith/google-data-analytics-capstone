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oma\Desktop\google_data_analytics_capstone\cyclistic_cleaned_data\"/>
    </mc:Choice>
  </mc:AlternateContent>
  <xr:revisionPtr revIDLastSave="0" documentId="13_ncr:1_{22F8F5D4-A95D-4664-8DB2-8079340D193D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monthly_summary" sheetId="1" r:id="rId1"/>
    <sheet name="seasonal_summary" sheetId="2" r:id="rId2"/>
    <sheet name="top_stations" sheetId="3" r:id="rId3"/>
    <sheet name="KPI_dashbo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4" l="1"/>
  <c r="B6" i="4"/>
  <c r="B5" i="4"/>
  <c r="B4" i="4"/>
  <c r="B3" i="4"/>
  <c r="B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8B6192-24EE-456D-8B2E-81973C6E72EA}" keepAlive="1" name="Query - 202501-divvy-tripdata" description="Connection to the '202501-divvy-tripdata' query in the workbook." type="5" refreshedVersion="0" background="1">
    <dbPr connection="Provider=Microsoft.Mashup.OleDb.1;Data Source=$Workbook$;Location=202501-divvy-tripdata;Extended Properties=&quot;&quot;" command="SELECT * FROM [202501-divvy-tripdata]"/>
  </connection>
  <connection id="2" xr16:uid="{8590AC08-0179-448A-972F-293B363050DF}" keepAlive="1" name="Query - 202502-divvy-tripdata" description="Connection to the '202502-divvy-tripdata' query in the workbook." type="5" refreshedVersion="0" background="1">
    <dbPr connection="Provider=Microsoft.Mashup.OleDb.1;Data Source=$Workbook$;Location=202502-divvy-tripdata;Extended Properties=&quot;&quot;" command="SELECT * FROM [202502-divvy-tripdata]"/>
  </connection>
  <connection id="3" xr16:uid="{925A565E-B65E-45A4-AED8-FD92F117A538}" keepAlive="1" name="Query - 202503-divvy-tripdata" description="Connection to the '202503-divvy-tripdata' query in the workbook." type="5" refreshedVersion="0" background="1">
    <dbPr connection="Provider=Microsoft.Mashup.OleDb.1;Data Source=$Workbook$;Location=202503-divvy-tripdata;Extended Properties=&quot;&quot;" command="SELECT * FROM [202503-divvy-tripdata]"/>
  </connection>
  <connection id="4" xr16:uid="{71700ECD-AA75-413D-9967-A160BBBB968C}" keepAlive="1" name="Query - 202504-divvy-tripdata" description="Connection to the '202504-divvy-tripdata' query in the workbook." type="5" refreshedVersion="0" background="1">
    <dbPr connection="Provider=Microsoft.Mashup.OleDb.1;Data Source=$Workbook$;Location=202504-divvy-tripdata;Extended Properties=&quot;&quot;" command="SELECT * FROM [202504-divvy-tripdata]"/>
  </connection>
  <connection id="5" xr16:uid="{7901E00D-31A4-4BF0-B122-864B87DA4FA6}" keepAlive="1" name="Query - 202505-divvy-tripdata" description="Connection to the '202505-divvy-tripdata' query in the workbook." type="5" refreshedVersion="0" background="1">
    <dbPr connection="Provider=Microsoft.Mashup.OleDb.1;Data Source=$Workbook$;Location=202505-divvy-tripdata;Extended Properties=&quot;&quot;" command="SELECT * FROM [202505-divvy-tripdata]"/>
  </connection>
  <connection id="6" xr16:uid="{D87A8F4F-B123-413F-992C-F0F547C14B10}" keepAlive="1" name="Query - 202506-divvy-tripdata" description="Connection to the '202506-divvy-tripdata' query in the workbook." type="5" refreshedVersion="0" background="1">
    <dbPr connection="Provider=Microsoft.Mashup.OleDb.1;Data Source=$Workbook$;Location=202506-divvy-tripdata;Extended Properties=&quot;&quot;" command="SELECT * FROM [202506-divvy-tripdata]"/>
  </connection>
  <connection id="7" xr16:uid="{BDB51896-4587-4AEB-AC25-92DCDC278FB3}" keepAlive="1" name="Query - 202507-divvy-tripdata" description="Connection to the '202507-divvy-tripdata' query in the workbook." type="5" refreshedVersion="0" background="1">
    <dbPr connection="Provider=Microsoft.Mashup.OleDb.1;Data Source=$Workbook$;Location=202507-divvy-tripdata;Extended Properties=&quot;&quot;" command="SELECT * FROM [202507-divvy-tripdata]"/>
  </connection>
  <connection id="8" xr16:uid="{1916CA49-A701-40EA-947E-C34881920A4C}" keepAlive="1" name="Query - 202508-divvy-tripdata" description="Connection to the '202508-divvy-tripdata' query in the workbook." type="5" refreshedVersion="0" background="1">
    <dbPr connection="Provider=Microsoft.Mashup.OleDb.1;Data Source=$Workbook$;Location=202508-divvy-tripdata;Extended Properties=&quot;&quot;" command="SELECT * FROM [202508-divvy-tripdata]"/>
  </connection>
  <connection id="9" xr16:uid="{5E9B3DF7-F08E-4E2A-8855-A2D7098992E3}" keepAlive="1" name="Query - 202509-divvy-tripdata" description="Connection to the '202509-divvy-tripdata' query in the workbook." type="5" refreshedVersion="0" background="1">
    <dbPr connection="Provider=Microsoft.Mashup.OleDb.1;Data Source=$Workbook$;Location=202509-divvy-tripdata;Extended Properties=&quot;&quot;" command="SELECT * FROM [202509-divvy-tripdata]"/>
  </connection>
  <connection id="10" xr16:uid="{0C366180-2134-4664-B592-F82C165C13B5}" keepAlive="1" name="Query - 202510-divvy-tripdata" description="Connection to the '202510-divvy-tripdata' query in the workbook." type="5" refreshedVersion="0" background="1">
    <dbPr connection="Provider=Microsoft.Mashup.OleDb.1;Data Source=$Workbook$;Location=202510-divvy-tripdata;Extended Properties=&quot;&quot;" command="SELECT * FROM [202510-divvy-tripdata]"/>
  </connection>
  <connection id="11" xr16:uid="{00F13D6F-7D1F-4B15-B32A-6DD658E575BD}" keepAlive="1" name="Query - 202511-divvy-tripdata" description="Connection to the '202511-divvy-tripdata' query in the workbook." type="5" refreshedVersion="0" background="1">
    <dbPr connection="Provider=Microsoft.Mashup.OleDb.1;Data Source=$Workbook$;Location=202511-divvy-tripdata;Extended Properties=&quot;&quot;" command="SELECT * FROM [202511-divvy-tripdata]"/>
  </connection>
  <connection id="12" xr16:uid="{85D6A6FA-040C-4754-863B-627C93E87675}" keepAlive="1" name="Query - 202512-divvy-tripdata" description="Connection to the '202512-divvy-tripdata' query in the workbook." type="5" refreshedVersion="0" background="1">
    <dbPr connection="Provider=Microsoft.Mashup.OleDb.1;Data Source=$Workbook$;Location=202512-divvy-tripdata;Extended Properties=&quot;&quot;" command="SELECT * FROM [202512-divvy-tripdata]"/>
  </connection>
  <connection id="13" xr16:uid="{2F78263A-1AF2-4B09-93EE-E990D2474B6D}" keepAlive="1" name="Query - cyclistic_data_2025 (2)" description="Connection to the 'cyclistic_data_2025 (2)' query in the workbook." type="5" refreshedVersion="8" background="1">
    <dbPr connection="Provider=Microsoft.Mashup.OleDb.1;Data Source=$Workbook$;Location=&quot;cyclistic_data_2025 (2)&quot;;Extended Properties=&quot;&quot;" command="SELECT * FROM [cyclistic_data_2025 (2)]"/>
  </connection>
</connections>
</file>

<file path=xl/sharedStrings.xml><?xml version="1.0" encoding="utf-8"?>
<sst xmlns="http://schemas.openxmlformats.org/spreadsheetml/2006/main" count="50" uniqueCount="43">
  <si>
    <t>month</t>
  </si>
  <si>
    <t>casual</t>
  </si>
  <si>
    <t>member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</si>
  <si>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</si>
  <si>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</si>
  <si>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</si>
  <si>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</si>
  <si>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</si>
  <si>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</si>
  <si>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</si>
  <si>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</si>
  <si>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</si>
  <si>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</si>
  <si>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</si>
  <si>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</si>
  <si>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</si>
  <si>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total_rides</t>
  </si>
  <si>
    <t>avg_duration</t>
  </si>
  <si>
    <t>Total</t>
  </si>
  <si>
    <t>Fall</t>
  </si>
  <si>
    <t>Spring</t>
  </si>
  <si>
    <t>Summer</t>
  </si>
  <si>
    <t>Winter</t>
  </si>
  <si>
    <t>avg_trip_duration</t>
  </si>
  <si>
    <t>total</t>
  </si>
  <si>
    <t>start_station</t>
  </si>
  <si>
    <t>Canal St &amp; Madison St</t>
  </si>
  <si>
    <t>Clark St &amp; Elm St</t>
  </si>
  <si>
    <t>Clinton St &amp; Madison St</t>
  </si>
  <si>
    <t>Clinton St &amp; Washington Blvd</t>
  </si>
  <si>
    <t>DuSable Lake Shore Dr &amp; Monroe St</t>
  </si>
  <si>
    <t>DuSable Lake Shore Dr &amp; North Blvd</t>
  </si>
  <si>
    <t>Kingsbury St &amp; Kinzie St</t>
  </si>
  <si>
    <t>Michigan Ave &amp; Oak St</t>
  </si>
  <si>
    <t>Navy Pier</t>
  </si>
  <si>
    <t>Streeter Dr &amp; Grand Ave</t>
  </si>
  <si>
    <t>Overall Rides (2025)</t>
  </si>
  <si>
    <t>Avg Trip Duration</t>
  </si>
  <si>
    <t>Peak Month Rides</t>
  </si>
  <si>
    <t>Peak Month Name</t>
  </si>
  <si>
    <t>Member % Overall</t>
  </si>
  <si>
    <t>Casual % Overall</t>
  </si>
  <si>
    <t>kpi_dashboard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</si>
</sst>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1" xfId="0" applyFont="1" applyFill="1" applyBorder="1" applyAlignment="1"/>
    <xf numFmtId="0" fontId="0" fillId="0" borderId="0" xfId="0" applyAlignment="1"/>
    <xf numFmtId="0" fontId="1" fillId="2" borderId="2" xfId="0" applyFont="1" applyFill="1" applyBorder="1" applyAlignment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2" xfId="0" applyFont="1" applyFill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10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10" fontId="1" fillId="2" borderId="2" xfId="0" applyNumberFormat="1" applyFont="1" applyFill="1" applyBorder="1" applyAlignment="1">
      <alignment horizontal="center" wrapText="1"/>
    </xf>
    <xf numFmtId="2" fontId="1" fillId="2" borderId="2" xfId="0" applyNumberFormat="1" applyFont="1" applyFill="1" applyBorder="1" applyAlignment="1">
      <alignment horizontal="center" wrapText="1"/>
    </xf>
    <xf numFmtId="0" fontId="0" fillId="3" borderId="4" xfId="0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9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pane ySplit="1" topLeftCell="A2" activePane="bottomLeft" state="frozen"/>
      <selection pane="bottomLeft" activeCell="D2" sqref="D2"/>
    </sheetView>
  </sheetViews>
  <sheetFormatPr defaultRowHeight="14.5" x14ac:dyDescent="0.35"/>
  <cols>
    <col min="1" max="1" width="13.453125" customWidth="1"/>
    <col min="4" max="4" width="15.7265625" customWidth="1"/>
    <col min="5" max="5" width="15.54296875" customWidth="1"/>
  </cols>
  <sheetData>
    <row r="1" spans="1:5" x14ac:dyDescent="0.35">
      <c r="A1" s="6" t="s">
        <v>0</v>
      </c>
      <c r="B1" s="6" t="s">
        <v>1</v>
      </c>
      <c r="C1" s="6" t="s">
        <v>2</v>
      </c>
      <c r="D1" s="7" t="s">
        <v>16</v>
      </c>
      <c r="E1" s="7" t="s">
        <v>17</v>
      </c>
    </row>
    <row r="2" spans="1:5" x14ac:dyDescent="0.35">
      <c r="A2" s="8" t="s">
        <v>3</v>
      </c>
      <c r="B2" s="8">
        <v>17090</v>
      </c>
      <c r="C2" s="8">
        <v>84121</v>
      </c>
      <c r="D2" s="8">
        <v>101211</v>
      </c>
      <c r="E2" s="9">
        <v>8.914189169161455</v>
      </c>
    </row>
    <row r="3" spans="1:5" x14ac:dyDescent="0.35">
      <c r="A3" s="8" t="s">
        <v>4</v>
      </c>
      <c r="B3" s="8">
        <v>19631</v>
      </c>
      <c r="C3" s="8">
        <v>89945</v>
      </c>
      <c r="D3" s="8">
        <v>109576</v>
      </c>
      <c r="E3" s="9">
        <v>9.1368639118055057</v>
      </c>
    </row>
    <row r="4" spans="1:5" x14ac:dyDescent="0.35">
      <c r="A4" s="8" t="s">
        <v>5</v>
      </c>
      <c r="B4" s="8">
        <v>61670</v>
      </c>
      <c r="C4" s="8">
        <v>148162</v>
      </c>
      <c r="D4" s="8">
        <v>209832</v>
      </c>
      <c r="E4" s="9">
        <v>11.407754775248771</v>
      </c>
    </row>
    <row r="5" spans="1:5" x14ac:dyDescent="0.35">
      <c r="A5" s="8" t="s">
        <v>6</v>
      </c>
      <c r="B5" s="8">
        <v>77018</v>
      </c>
      <c r="C5" s="8">
        <v>181859</v>
      </c>
      <c r="D5" s="8">
        <v>258877</v>
      </c>
      <c r="E5" s="9">
        <v>11.680914102063914</v>
      </c>
    </row>
    <row r="6" spans="1:5" x14ac:dyDescent="0.35">
      <c r="A6" s="8" t="s">
        <v>7</v>
      </c>
      <c r="B6" s="8">
        <v>125697</v>
      </c>
      <c r="C6" s="8">
        <v>215010</v>
      </c>
      <c r="D6" s="8">
        <v>340707</v>
      </c>
      <c r="E6" s="9">
        <v>12.934368827174081</v>
      </c>
    </row>
    <row r="7" spans="1:5" x14ac:dyDescent="0.35">
      <c r="A7" s="8" t="s">
        <v>8</v>
      </c>
      <c r="B7" s="8">
        <v>193128</v>
      </c>
      <c r="C7" s="8">
        <v>253192</v>
      </c>
      <c r="D7" s="8">
        <v>446320</v>
      </c>
      <c r="E7" s="9">
        <v>14.041270837067575</v>
      </c>
    </row>
    <row r="8" spans="1:5" x14ac:dyDescent="0.35">
      <c r="A8" s="8" t="s">
        <v>9</v>
      </c>
      <c r="B8" s="8">
        <v>208733</v>
      </c>
      <c r="C8" s="8">
        <v>285552</v>
      </c>
      <c r="D8" s="8">
        <v>494285</v>
      </c>
      <c r="E8" s="9">
        <v>13.852485913996986</v>
      </c>
    </row>
    <row r="9" spans="1:5" x14ac:dyDescent="0.35">
      <c r="A9" s="8" t="s">
        <v>10</v>
      </c>
      <c r="B9" s="8">
        <v>221294</v>
      </c>
      <c r="C9" s="8">
        <v>294344</v>
      </c>
      <c r="D9" s="8">
        <v>515638</v>
      </c>
      <c r="E9" s="9">
        <v>14.080892021146619</v>
      </c>
    </row>
    <row r="10" spans="1:5" x14ac:dyDescent="0.35">
      <c r="A10" s="8" t="s">
        <v>11</v>
      </c>
      <c r="B10" s="8">
        <v>172387</v>
      </c>
      <c r="C10" s="8">
        <v>295374</v>
      </c>
      <c r="D10" s="8">
        <v>467761</v>
      </c>
      <c r="E10" s="9">
        <v>13.039629212354173</v>
      </c>
    </row>
    <row r="11" spans="1:5" x14ac:dyDescent="0.35">
      <c r="A11" s="8" t="s">
        <v>12</v>
      </c>
      <c r="B11" s="8">
        <v>143546</v>
      </c>
      <c r="C11" s="8">
        <v>274356</v>
      </c>
      <c r="D11" s="8">
        <v>417902</v>
      </c>
      <c r="E11" s="9">
        <v>12.06782212097573</v>
      </c>
    </row>
    <row r="12" spans="1:5" x14ac:dyDescent="0.35">
      <c r="A12" s="8" t="s">
        <v>13</v>
      </c>
      <c r="B12" s="8">
        <v>64210</v>
      </c>
      <c r="C12" s="8">
        <v>170741</v>
      </c>
      <c r="D12" s="8">
        <v>234951</v>
      </c>
      <c r="E12" s="9">
        <v>10.698647803158957</v>
      </c>
    </row>
    <row r="13" spans="1:5" x14ac:dyDescent="0.35">
      <c r="A13" s="8" t="s">
        <v>14</v>
      </c>
      <c r="B13" s="8">
        <v>18861</v>
      </c>
      <c r="C13" s="8">
        <v>77332</v>
      </c>
      <c r="D13" s="8">
        <v>96193</v>
      </c>
      <c r="E13" s="9">
        <v>9.6274157163203142</v>
      </c>
    </row>
    <row r="14" spans="1:5" x14ac:dyDescent="0.35">
      <c r="A14" s="10" t="s">
        <v>18</v>
      </c>
      <c r="B14" s="10">
        <v>1323265</v>
      </c>
      <c r="C14" s="10">
        <v>2369988</v>
      </c>
      <c r="D14" s="10">
        <v>3693253</v>
      </c>
      <c r="E14" s="11">
        <v>12.640569438378579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4DE1B-CA6C-4882-80E5-B0E41B735BC3}">
  <dimension ref="A1:E6"/>
  <sheetViews>
    <sheetView workbookViewId="0">
      <selection activeCell="D10" sqref="D10"/>
    </sheetView>
  </sheetViews>
  <sheetFormatPr defaultRowHeight="14.5" x14ac:dyDescent="0.35"/>
  <cols>
    <col min="1" max="1" width="11.90625" customWidth="1"/>
    <col min="4" max="4" width="13.81640625" customWidth="1"/>
    <col min="5" max="5" width="16" customWidth="1"/>
  </cols>
  <sheetData>
    <row r="1" spans="1:5" ht="17.5" customHeight="1" x14ac:dyDescent="0.35">
      <c r="A1" s="12" t="s">
        <v>0</v>
      </c>
      <c r="B1" s="12" t="s">
        <v>1</v>
      </c>
      <c r="C1" s="13" t="s">
        <v>2</v>
      </c>
      <c r="D1" s="13" t="s">
        <v>16</v>
      </c>
      <c r="E1" s="12" t="s">
        <v>23</v>
      </c>
    </row>
    <row r="2" spans="1:5" x14ac:dyDescent="0.35">
      <c r="A2" s="14" t="s">
        <v>19</v>
      </c>
      <c r="B2" s="15">
        <v>0.33922742353745355</v>
      </c>
      <c r="C2" s="15">
        <v>0.66077257646254639</v>
      </c>
      <c r="D2" s="14">
        <v>1120614</v>
      </c>
      <c r="E2" s="16">
        <v>12.186404060631046</v>
      </c>
    </row>
    <row r="3" spans="1:5" x14ac:dyDescent="0.35">
      <c r="A3" s="14" t="s">
        <v>20</v>
      </c>
      <c r="B3" s="15">
        <v>0.32663673562173223</v>
      </c>
      <c r="C3" s="15">
        <v>0.67336326437826777</v>
      </c>
      <c r="D3" s="14">
        <v>809416</v>
      </c>
      <c r="E3" s="16">
        <v>12.137716575901639</v>
      </c>
    </row>
    <row r="4" spans="1:5" x14ac:dyDescent="0.35">
      <c r="A4" s="14" t="s">
        <v>21</v>
      </c>
      <c r="B4" s="15">
        <v>0.42791965351936456</v>
      </c>
      <c r="C4" s="15">
        <v>0.57208034648063544</v>
      </c>
      <c r="D4" s="14">
        <v>1456243</v>
      </c>
      <c r="E4" s="16">
        <v>13.991221932053922</v>
      </c>
    </row>
    <row r="5" spans="1:5" x14ac:dyDescent="0.35">
      <c r="A5" s="14" t="s">
        <v>22</v>
      </c>
      <c r="B5" s="15">
        <v>0.18106065541729102</v>
      </c>
      <c r="C5" s="15">
        <v>0.81893934458270901</v>
      </c>
      <c r="D5" s="14">
        <v>306980</v>
      </c>
      <c r="E5" s="16">
        <v>9.2171639846244062</v>
      </c>
    </row>
    <row r="6" spans="1:5" x14ac:dyDescent="0.35">
      <c r="A6" s="17" t="s">
        <v>24</v>
      </c>
      <c r="B6" s="18">
        <v>0.35829254047854292</v>
      </c>
      <c r="C6" s="18">
        <v>0.64170745952145714</v>
      </c>
      <c r="D6" s="17">
        <v>3693253</v>
      </c>
      <c r="E6" s="19">
        <v>12.640569438378579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102BA-D1FB-499D-AF90-7CA365725EE0}">
  <dimension ref="A1:D12"/>
  <sheetViews>
    <sheetView workbookViewId="0">
      <selection activeCell="E7" sqref="E7"/>
    </sheetView>
  </sheetViews>
  <sheetFormatPr defaultRowHeight="14.5" x14ac:dyDescent="0.35"/>
  <cols>
    <col min="1" max="1" width="32.7265625" customWidth="1"/>
  </cols>
  <sheetData>
    <row r="1" spans="1:4" x14ac:dyDescent="0.35">
      <c r="A1" s="3" t="s">
        <v>25</v>
      </c>
      <c r="B1" s="3" t="s">
        <v>1</v>
      </c>
      <c r="C1" s="3" t="s">
        <v>2</v>
      </c>
      <c r="D1" s="3" t="s">
        <v>24</v>
      </c>
    </row>
    <row r="2" spans="1:4" x14ac:dyDescent="0.35">
      <c r="A2" s="1" t="s">
        <v>26</v>
      </c>
      <c r="B2" s="4">
        <v>6257</v>
      </c>
      <c r="C2" s="4">
        <v>19044</v>
      </c>
      <c r="D2" s="4">
        <v>25301</v>
      </c>
    </row>
    <row r="3" spans="1:4" x14ac:dyDescent="0.35">
      <c r="A3" s="1" t="s">
        <v>27</v>
      </c>
      <c r="B3" s="4">
        <v>7447</v>
      </c>
      <c r="C3" s="4">
        <v>17966</v>
      </c>
      <c r="D3" s="4">
        <v>25413</v>
      </c>
    </row>
    <row r="4" spans="1:4" x14ac:dyDescent="0.35">
      <c r="A4" s="1" t="s">
        <v>28</v>
      </c>
      <c r="B4" s="4">
        <v>5930</v>
      </c>
      <c r="C4" s="4">
        <v>19532</v>
      </c>
      <c r="D4" s="4">
        <v>25462</v>
      </c>
    </row>
    <row r="5" spans="1:4" x14ac:dyDescent="0.35">
      <c r="A5" s="1" t="s">
        <v>29</v>
      </c>
      <c r="B5" s="4">
        <v>4408</v>
      </c>
      <c r="C5" s="4">
        <v>22484</v>
      </c>
      <c r="D5" s="4">
        <v>26892</v>
      </c>
    </row>
    <row r="6" spans="1:4" x14ac:dyDescent="0.35">
      <c r="A6" s="1" t="s">
        <v>30</v>
      </c>
      <c r="B6" s="4">
        <v>28783</v>
      </c>
      <c r="C6" s="4">
        <v>7526</v>
      </c>
      <c r="D6" s="4">
        <v>36309</v>
      </c>
    </row>
    <row r="7" spans="1:4" x14ac:dyDescent="0.35">
      <c r="A7" s="1" t="s">
        <v>31</v>
      </c>
      <c r="B7" s="4">
        <v>17382</v>
      </c>
      <c r="C7" s="4">
        <v>12817</v>
      </c>
      <c r="D7" s="4">
        <v>30199</v>
      </c>
    </row>
    <row r="8" spans="1:4" x14ac:dyDescent="0.35">
      <c r="A8" s="1" t="s">
        <v>32</v>
      </c>
      <c r="B8" s="4">
        <v>7909</v>
      </c>
      <c r="C8" s="4">
        <v>26771</v>
      </c>
      <c r="D8" s="4">
        <v>34680</v>
      </c>
    </row>
    <row r="9" spans="1:4" x14ac:dyDescent="0.35">
      <c r="A9" s="1" t="s">
        <v>33</v>
      </c>
      <c r="B9" s="4">
        <v>20130</v>
      </c>
      <c r="C9" s="4">
        <v>10906</v>
      </c>
      <c r="D9" s="4">
        <v>31036</v>
      </c>
    </row>
    <row r="10" spans="1:4" x14ac:dyDescent="0.35">
      <c r="A10" s="1" t="s">
        <v>34</v>
      </c>
      <c r="B10" s="4">
        <v>25175</v>
      </c>
      <c r="C10" s="4">
        <v>6878</v>
      </c>
      <c r="D10" s="4">
        <v>32053</v>
      </c>
    </row>
    <row r="11" spans="1:4" x14ac:dyDescent="0.35">
      <c r="A11" s="1" t="s">
        <v>35</v>
      </c>
      <c r="B11" s="4">
        <v>21881</v>
      </c>
      <c r="C11" s="4">
        <v>5699</v>
      </c>
      <c r="D11" s="4">
        <v>27580</v>
      </c>
    </row>
    <row r="12" spans="1:4" x14ac:dyDescent="0.35">
      <c r="A12" s="2" t="s">
        <v>15</v>
      </c>
      <c r="B12" s="5">
        <v>145302</v>
      </c>
      <c r="C12" s="5">
        <v>149623</v>
      </c>
      <c r="D12" s="5">
        <v>294925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E0A17-D99E-45F6-B371-13BF280FC199}">
  <dimension ref="A1:B7"/>
  <sheetViews>
    <sheetView tabSelected="1" workbookViewId="0">
      <selection activeCell="B10" sqref="B10"/>
    </sheetView>
  </sheetViews>
  <sheetFormatPr defaultRowHeight="14.5" x14ac:dyDescent="0.35"/>
  <cols>
    <col min="1" max="1" width="19.90625" customWidth="1"/>
    <col min="2" max="2" width="17.54296875" customWidth="1"/>
  </cols>
  <sheetData>
    <row r="1" spans="1:2" x14ac:dyDescent="0.35">
      <c r="A1" s="20" t="s">
        <v>42</v>
      </c>
      <c r="B1" s="20"/>
    </row>
    <row r="2" spans="1:2" x14ac:dyDescent="0.35">
      <c r="A2" s="21" t="s">
        <v>36</v>
      </c>
      <c r="B2" s="22">
        <f>monthly_summary!D14</f>
        <v>3693253</v>
      </c>
    </row>
    <row r="3" spans="1:2" x14ac:dyDescent="0.35">
      <c r="A3" s="21" t="s">
        <v>37</v>
      </c>
      <c r="B3" s="23">
        <f>monthly_summary!E14</f>
        <v>12.640569438378579</v>
      </c>
    </row>
    <row r="4" spans="1:2" x14ac:dyDescent="0.35">
      <c r="A4" s="21" t="s">
        <v>38</v>
      </c>
      <c r="B4" s="22">
        <f>MAX(monthly_summary!D2:D13)</f>
        <v>515638</v>
      </c>
    </row>
    <row r="5" spans="1:2" x14ac:dyDescent="0.35">
      <c r="A5" s="21" t="s">
        <v>39</v>
      </c>
      <c r="B5" s="24" t="str">
        <f>INDEX(monthly_summary!A2:A13, MATCH(MAX(monthly_summary!D2:D13), monthly_summary!D2:D13, 0))</f>
        <v>August</v>
      </c>
    </row>
    <row r="6" spans="1:2" x14ac:dyDescent="0.35">
      <c r="A6" s="21" t="s">
        <v>40</v>
      </c>
      <c r="B6" s="25">
        <f>seasonal_summary!C6</f>
        <v>0.64170745952145714</v>
      </c>
    </row>
    <row r="7" spans="1:2" x14ac:dyDescent="0.35">
      <c r="A7" s="21" t="s">
        <v>41</v>
      </c>
      <c r="B7" s="25">
        <f>seasonal_summary!B6</f>
        <v>0.35829254047854292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714A9D-70E2-43F2-8DE5-6F3E8E7B15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monthly_summary</vt:lpstr>
      <vt:lpstr>seasonal_summary</vt:lpstr>
      <vt:lpstr>top_stations</vt:lpstr>
      <vt:lpstr>KPI_dashboard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</dc:creator>
  <cp:lastModifiedBy>Soma Ganesh Dokku</cp:lastModifiedBy>
  <dcterms:created xsi:type="dcterms:W3CDTF">2015-06-05T18:17:20Z</dcterms:created>
  <dcterms:modified xsi:type="dcterms:W3CDTF">2026-02-19T14:06:17Z</dcterms:modified>
</cp:coreProperties>
</file>